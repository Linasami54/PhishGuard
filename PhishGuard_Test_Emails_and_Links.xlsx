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mails" sheetId="2" state="visible" r:id="rId4"/>
    <sheet name="Link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<sst xmlns="http://schemas.openxmlformats.org/spreadsheetml/2006/main" count="213" uniqueCount="150">
  <si>
    <t xml:space="preserve">PhishGuard - emails and links to test</t>
  </si>
  <si>
    <t xml:space="preserve">What is in this file</t>
  </si>
  <si>
    <t xml:space="preserve">- 'Emails': 20 emails (10 phishing, 10 safe; English and Arabic).  - 'Links': 20 links (10 phishing, 10 legitimate).</t>
  </si>
  <si>
    <t xml:space="preserve">- The 'True label' column is what the message or link REALLY is. The app does not know it; we use it to check the app.</t>
  </si>
  <si>
    <t xml:space="preserve">How to test (about 15 minutes)</t>
  </si>
  <si>
    <t xml:space="preserve">1. Run the app:  streamlit run app.py   (browser opens at localhost:8501).</t>
  </si>
  <si>
    <t xml:space="preserve">2. Copy the email text (or the link) from this file and paste it in the 'Email Check' (or 'URL Check') box. Click Analyze.</t>
  </si>
  <si>
    <t xml:space="preserve">3. Look at the result: the colored badge shows the risk level (Low / Medium / High) and the gauge shows the score.</t>
  </si>
  <si>
    <t xml:space="preserve">4. Write them in the yellow columns: 'Risk level shown' (drop-down) and 'Score shown'.</t>
  </si>
  <si>
    <t xml:space="preserve">5. The file fills the rest by itself: 'App decision' (Low = safe, Medium or High = phishing) and 'Correct?' (compared with the true label).</t>
  </si>
  <si>
    <t xml:space="preserve">6. Open the 'Summary' sheet for accuracy, how many phishing were caught, and false alarms. Fill your name and date there.</t>
  </si>
  <si>
    <t xml:space="preserve">Notes</t>
  </si>
  <si>
    <t xml:space="preserve">- The links are made-up test strings. The app never opens a link; it only reads the text of the link.</t>
  </si>
  <si>
    <t xml:space="preserve">- Type links exactly as written. Do not click them in the spreadsheet.</t>
  </si>
  <si>
    <t xml:space="preserve">- If the app is wrong on a case, keep it: write why in 'Notes'. Honest results (and an explanation of the errors) are better than a perfect-looking table.</t>
  </si>
  <si>
    <t xml:space="preserve">ID</t>
  </si>
  <si>
    <t xml:space="preserve">Language</t>
  </si>
  <si>
    <t xml:space="preserve">Email text (copy this)</t>
  </si>
  <si>
    <t xml:space="preserve">True label</t>
  </si>
  <si>
    <t xml:space="preserve">Risk level shown
(you fill)</t>
  </si>
  <si>
    <t xml:space="preserve">Score shown
(you fill)</t>
  </si>
  <si>
    <t xml:space="preserve">App decision</t>
  </si>
  <si>
    <t xml:space="preserve">Correct?</t>
  </si>
  <si>
    <t xml:space="preserve">E01</t>
  </si>
  <si>
    <t xml:space="preserve">English</t>
  </si>
  <si>
    <t xml:space="preserve">Your parcel could not be delivered. Pay a small customs fee of 12 SAR within 24 hours to release it: http://track-delivery-fee.top/pay</t>
  </si>
  <si>
    <t xml:space="preserve">Phishing</t>
  </si>
  <si>
    <t xml:space="preserve">E02</t>
  </si>
  <si>
    <t xml:space="preserve">Dear customer, we detected unusual activity on your bank account. Confirm your identity immediately by entering your card number and PIN at http://secure-bank-verify.xyz/login or your account will be locked.</t>
  </si>
  <si>
    <t xml:space="preserve">E03</t>
  </si>
  <si>
    <t xml:space="preserve">Congratulations! You have been selected to receive a $500 gift card. Click here to claim your prize now: http://claim-your-gift.top</t>
  </si>
  <si>
    <t xml:space="preserve">E04</t>
  </si>
  <si>
    <t xml:space="preserve">Your mailbox is almost full and will stop receiving messages today. Verify your password now to keep your account: http://mail-upgrade-portal.xyz/login</t>
  </si>
  <si>
    <t xml:space="preserve">E05</t>
  </si>
  <si>
    <t xml:space="preserve">Hi, are you available? I need you to buy 5 gift cards for a client urgently and send me the codes. I am in a meeting and cannot talk. Do not tell anyone.</t>
  </si>
  <si>
    <t xml:space="preserve">E06</t>
  </si>
  <si>
    <t xml:space="preserve">Please find the invoice below. Your payment is overdue and legal action will start unless you pay within 48 hours. View your invoice here: http://invoice-view.top/download</t>
  </si>
  <si>
    <t xml:space="preserve">E07</t>
  </si>
  <si>
    <t xml:space="preserve">Arabic</t>
  </si>
  <si>
    <t xml:space="preserve">عزيزي المستخدم، تم إيقاف حسابك في أبشر. لإعادة تفعيله أرسل رمز التحقق وكلمة المرور فوراً عبر الرابط: http://absher-verify.top/login</t>
  </si>
  <si>
    <t xml:space="preserve">E08</t>
  </si>
  <si>
    <t xml:space="preserve">عاجل: تم تعليق خدمة جوالك. حدّث بياناتك وبيانات بطاقتك خلال 24 ساعة عبر الرابط http://stc-update.xyz لتجنب الإغلاق.</t>
  </si>
  <si>
    <t xml:space="preserve">E09</t>
  </si>
  <si>
    <t xml:space="preserve">مبروك! ربحت جائزة بقيمة 10000 ريال. اضغط على الرابط لاستلام جائزتك الآن http://win-prize.top</t>
  </si>
  <si>
    <t xml:space="preserve">E10</t>
  </si>
  <si>
    <t xml:space="preserve">Your Apple ID has been locked for security reasons. Verify your account now to unlock it: http://apple-id-unlock.xyz</t>
  </si>
  <si>
    <t xml:space="preserve">E11</t>
  </si>
  <si>
    <t xml:space="preserve">Hi all, the weekly meeting is moved to Tuesday at 10 AM in room B12. Please bring your progress reports. Thanks, Maha</t>
  </si>
  <si>
    <t xml:space="preserve">Safe</t>
  </si>
  <si>
    <t xml:space="preserve">E12</t>
  </si>
  <si>
    <t xml:space="preserve">Dear students, the deadline for Assignment 2 has been extended to Sunday. You can submit it on the course page as usual. Best regards, Dr. Noura</t>
  </si>
  <si>
    <t xml:space="preserve">E13</t>
  </si>
  <si>
    <t xml:space="preserve">Thanks for your order #48213. Your package will arrive on Thursday. You can track it from your account in our app. Have a great day!</t>
  </si>
  <si>
    <t xml:space="preserve">E14</t>
  </si>
  <si>
    <t xml:space="preserve">Hey! Are we still meeting for lunch tomorrow? Let me know what time works for you.</t>
  </si>
  <si>
    <t xml:space="preserve">E15</t>
  </si>
  <si>
    <t xml:space="preserve">This week on our blog: 5 tips to study better, a new Python tutorial and an interview with a graduate. Read more on our website.</t>
  </si>
  <si>
    <t xml:space="preserve">E16</t>
  </si>
  <si>
    <t xml:space="preserve">مرحباً سارة، أرفقت لك جدول اجتماع الغد. أرجو مراجعته وإبلاغي بأي ملاحظات. شكراً</t>
  </si>
  <si>
    <t xml:space="preserve">E17</t>
  </si>
  <si>
    <t xml:space="preserve">تم تأجيل محاضرة الغد إلى يوم الأحد الساعة العاشرة صباحاً في القاعة 204. نراكم هناك.</t>
  </si>
  <si>
    <t xml:space="preserve">E18</t>
  </si>
  <si>
    <t xml:space="preserve">أهلاً، هل أنتِ متفرغة للغداء يوم الخميس؟ أخبريني بالوقت المناسب لك.</t>
  </si>
  <si>
    <t xml:space="preserve">E19</t>
  </si>
  <si>
    <t xml:space="preserve">Reminder: your dentist appointment is tomorrow at 4 PM. Reply to confirm or call the clinic to reschedule.</t>
  </si>
  <si>
    <t xml:space="preserve">E20</t>
  </si>
  <si>
    <t xml:space="preserve">Attached is the project report for review. Please send me your comments by Friday. Thank you.</t>
  </si>
  <si>
    <t xml:space="preserve">Link (type this)</t>
  </si>
  <si>
    <t xml:space="preserve">Why</t>
  </si>
  <si>
    <t xml:space="preserve">U01</t>
  </si>
  <si>
    <t xml:space="preserve">http://192.168.45.7/secure/login.php?verify=account</t>
  </si>
  <si>
    <t xml:space="preserve">IP address instead of a name</t>
  </si>
  <si>
    <t xml:space="preserve">U02</t>
  </si>
  <si>
    <t xml:space="preserve">http://paypa1-secure-login.xyz/verify</t>
  </si>
  <si>
    <t xml:space="preserve">Look-alike of PayPal + odd ending</t>
  </si>
  <si>
    <t xml:space="preserve">U03</t>
  </si>
  <si>
    <t xml:space="preserve">http://paypal.com.secure-login.xyz/</t>
  </si>
  <si>
    <t xml:space="preserve">Brand name in the subdomain, real domain is secure-login.xyz</t>
  </si>
  <si>
    <t xml:space="preserve">U04</t>
  </si>
  <si>
    <t xml:space="preserve">https://paypal-login.com/signin</t>
  </si>
  <si>
    <t xml:space="preserve">Brand name inside a different domain</t>
  </si>
  <si>
    <t xml:space="preserve">U05</t>
  </si>
  <si>
    <t xml:space="preserve">http://google.com@evil-site.top/login</t>
  </si>
  <si>
    <t xml:space="preserve">'@' trick: the real site is after the @</t>
  </si>
  <si>
    <t xml:space="preserve">U06</t>
  </si>
  <si>
    <t xml:space="preserve">http://xn--pypal-4ve.com</t>
  </si>
  <si>
    <t xml:space="preserve">Punycode (look-alike letters)</t>
  </si>
  <si>
    <t xml:space="preserve">U07</t>
  </si>
  <si>
    <t xml:space="preserve">http://absher-sa-verify.top/login</t>
  </si>
  <si>
    <t xml:space="preserve">Saudi service name + odd ending</t>
  </si>
  <si>
    <t xml:space="preserve">U08</t>
  </si>
  <si>
    <t xml:space="preserve">http://secure-update-your-account.com/bank/login.php?id=8841&amp;session=abc123</t>
  </si>
  <si>
    <t xml:space="preserve">Suspicious words, long link</t>
  </si>
  <si>
    <t xml:space="preserve">U09</t>
  </si>
  <si>
    <t xml:space="preserve">http://apple-id-support.verify-account.xyz/unlock</t>
  </si>
  <si>
    <t xml:space="preserve">Brand in the subdomain + odd ending</t>
  </si>
  <si>
    <t xml:space="preserve">U10</t>
  </si>
  <si>
    <t xml:space="preserve">http://stc-pay-update.top/card</t>
  </si>
  <si>
    <t xml:space="preserve">Saudi brand + payment + odd ending</t>
  </si>
  <si>
    <t xml:space="preserve">U11</t>
  </si>
  <si>
    <t xml:space="preserve">Legitimate</t>
  </si>
  <si>
    <t xml:space="preserve">https://www.google.com</t>
  </si>
  <si>
    <t xml:space="preserve">Official Google site</t>
  </si>
  <si>
    <t xml:space="preserve">U12</t>
  </si>
  <si>
    <t xml:space="preserve">https://www.apple.com</t>
  </si>
  <si>
    <t xml:space="preserve">Official Apple site</t>
  </si>
  <si>
    <t xml:space="preserve">U13</t>
  </si>
  <si>
    <t xml:space="preserve">https://github.com/anthropics</t>
  </si>
  <si>
    <t xml:space="preserve">Normal link with a path</t>
  </si>
  <si>
    <t xml:space="preserve">U14</t>
  </si>
  <si>
    <t xml:space="preserve">https://en.wikipedia.org/wiki/Phishing</t>
  </si>
  <si>
    <t xml:space="preserve">Wikipedia article</t>
  </si>
  <si>
    <t xml:space="preserve">U15</t>
  </si>
  <si>
    <t xml:space="preserve">https://www.stc.com.sa</t>
  </si>
  <si>
    <t xml:space="preserve">Official stc site</t>
  </si>
  <si>
    <t xml:space="preserve">U16</t>
  </si>
  <si>
    <t xml:space="preserve">https://www.absher.sa</t>
  </si>
  <si>
    <t xml:space="preserve">Official Absher site</t>
  </si>
  <si>
    <t xml:space="preserve">U17</t>
  </si>
  <si>
    <t xml:space="preserve">https://www.amazon.sa</t>
  </si>
  <si>
    <t xml:space="preserve">Official Amazon Saudi site</t>
  </si>
  <si>
    <t xml:space="preserve">U18</t>
  </si>
  <si>
    <t xml:space="preserve">https://www.google.com.sa</t>
  </si>
  <si>
    <t xml:space="preserve">Official Google Saudi site</t>
  </si>
  <si>
    <t xml:space="preserve">U19</t>
  </si>
  <si>
    <t xml:space="preserve">https://www.microsoft.com/en-us</t>
  </si>
  <si>
    <t xml:space="preserve">Official Microsoft site with a path</t>
  </si>
  <si>
    <t xml:space="preserve">U20</t>
  </si>
  <si>
    <t xml:space="preserve">https://www.bbc.com/news</t>
  </si>
  <si>
    <t xml:space="preserve">News site with a path</t>
  </si>
  <si>
    <t xml:space="preserve">PhishGuard - test summary</t>
  </si>
  <si>
    <t xml:space="preserve">Test run info (fill in)</t>
  </si>
  <si>
    <t xml:space="preserve">Tester</t>
  </si>
  <si>
    <t xml:space="preserve">Date</t>
  </si>
  <si>
    <t xml:space="preserve">Environment (Python / OS)</t>
  </si>
  <si>
    <t xml:space="preserve">App version / zip name</t>
  </si>
  <si>
    <t xml:space="preserve">Results</t>
  </si>
  <si>
    <t xml:space="preserve">Correct</t>
  </si>
  <si>
    <t xml:space="preserve">Wrong</t>
  </si>
  <si>
    <t xml:space="preserve">Tested</t>
  </si>
  <si>
    <t xml:space="preserve">Accuracy</t>
  </si>
  <si>
    <t xml:space="preserve">Emails</t>
  </si>
  <si>
    <t xml:space="preserve">Links</t>
  </si>
  <si>
    <t xml:space="preserve">Total</t>
  </si>
  <si>
    <t xml:space="preserve">Detection</t>
  </si>
  <si>
    <t xml:space="preserve">Phishing emails caught</t>
  </si>
  <si>
    <t xml:space="preserve">Safe emails wrongly flagged (false alarms)</t>
  </si>
  <si>
    <t xml:space="preserve">Phishing links caught</t>
  </si>
  <si>
    <t xml:space="preserve">Legitimate links wrongly flagged (false alarms)</t>
  </si>
  <si>
    <t xml:space="preserve">Decision rule: Low = safe / legitimate; Medium or High = phishing.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</si>
</sst>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8C2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8E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8C2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Correct vs wrong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Summary!B10</c:f>
              <c:strCache>
                <c:ptCount val="1"/>
                <c:pt idx="0">
                  <c:v>Correct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Emails</c:v>
                </c:pt>
                <c:pt idx="1">
                  <c:v>Links</c:v>
                </c:pt>
              </c:strCache>
            </c:strRef>
          </c:cat>
          <c:val>
            <c:numRef>
              <c:f>Summary!$B$11:$B$12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Summary!C10</c:f>
              <c:strCache>
                <c:ptCount val="1"/>
                <c:pt idx="0">
                  <c:v>Wrong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Emails</c:v>
                </c:pt>
                <c:pt idx="1">
                  <c:v>Links</c:v>
                </c:pt>
              </c:strCache>
            </c:strRef>
          </c:cat>
          <c:val>
            <c:numRef>
              <c:f>Summary!$C$11:$C$12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33503161"/>
        <c:axId val="16914709"/>
      </c:barChart>
      <c:catAx>
        <c:axId val="33503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14709"/>
        <c:crosses val="autoZero"/>
        <c:auto val="1"/>
        <c:lblAlgn val="ctr"/>
        <c:lblOffset val="100"/>
        <c:noMultiLvlLbl val="0"/>
      </c:catAx>
      <c:valAx>
        <c:axId val="16914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03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766008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7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33.75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11</v>
      </c>
    </row>
    <row r="2" customFormat="false" ht="61.5" hidden="false" customHeight="true" outlineLevel="0" collapsed="false">
      <c r="A2" s="5" t="s">
        <v>23</v>
      </c>
      <c r="B2" s="5" t="s">
        <v>24</v>
      </c>
      <c r="C2" s="6" t="s">
        <v>25</v>
      </c>
      <c r="D2" s="5" t="s">
        <v>26</v>
      </c>
      <c r="E2" s="7"/>
      <c r="F2" s="7"/>
      <c r="G2" s="5" t="str">
        <f aca="false">IF(E2="","",IF(E2="Low","Safe","Phishing"))</f>
        <v/>
      </c>
      <c r="H2" s="8" t="str">
        <f aca="false">IF(G2="","",IF(G2=D2,"Correct","Wrong"))</f>
        <v/>
      </c>
      <c r="I2" s="9"/>
    </row>
    <row r="3" customFormat="false" ht="61.5" hidden="false" customHeight="true" outlineLevel="0" collapsed="false">
      <c r="A3" s="5" t="s">
        <v>27</v>
      </c>
      <c r="B3" s="5" t="s">
        <v>24</v>
      </c>
      <c r="C3" s="6" t="s">
        <v>28</v>
      </c>
      <c r="D3" s="5" t="s">
        <v>26</v>
      </c>
      <c r="E3" s="7"/>
      <c r="F3" s="7"/>
      <c r="G3" s="5" t="str">
        <f aca="false">IF(E3="","",IF(E3="Low","Safe","Phishing"))</f>
        <v/>
      </c>
      <c r="H3" s="8" t="str">
        <f aca="false">IF(G3="","",IF(G3=D3,"Correct","Wrong"))</f>
        <v/>
      </c>
      <c r="I3" s="9"/>
    </row>
    <row r="4" customFormat="false" ht="61.5" hidden="false" customHeight="true" outlineLevel="0" collapsed="false">
      <c r="A4" s="5" t="s">
        <v>29</v>
      </c>
      <c r="B4" s="5" t="s">
        <v>24</v>
      </c>
      <c r="C4" s="6" t="s">
        <v>30</v>
      </c>
      <c r="D4" s="5" t="s">
        <v>26</v>
      </c>
      <c r="E4" s="7"/>
      <c r="F4" s="7"/>
      <c r="G4" s="5" t="str">
        <f aca="false">IF(E4="","",IF(E4="Low","Safe","Phishing"))</f>
        <v/>
      </c>
      <c r="H4" s="8" t="str">
        <f aca="false">IF(G4="","",IF(G4=D4,"Correct","Wrong"))</f>
        <v/>
      </c>
      <c r="I4" s="9"/>
    </row>
    <row r="5" customFormat="false" ht="61.5" hidden="false" customHeight="true" outlineLevel="0" collapsed="false">
      <c r="A5" s="5" t="s">
        <v>31</v>
      </c>
      <c r="B5" s="5" t="s">
        <v>24</v>
      </c>
      <c r="C5" s="6" t="s">
        <v>32</v>
      </c>
      <c r="D5" s="5" t="s">
        <v>26</v>
      </c>
      <c r="E5" s="7"/>
      <c r="F5" s="7"/>
      <c r="G5" s="5" t="str">
        <f aca="false">IF(E5="","",IF(E5="Low","Safe","Phishing"))</f>
        <v/>
      </c>
      <c r="H5" s="8" t="str">
        <f aca="false">IF(G5="","",IF(G5=D5,"Correct","Wrong"))</f>
        <v/>
      </c>
      <c r="I5" s="9"/>
    </row>
    <row r="6" customFormat="false" ht="61.5" hidden="false" customHeight="true" outlineLevel="0" collapsed="false">
      <c r="A6" s="5" t="s">
        <v>33</v>
      </c>
      <c r="B6" s="5" t="s">
        <v>24</v>
      </c>
      <c r="C6" s="6" t="s">
        <v>34</v>
      </c>
      <c r="D6" s="5" t="s">
        <v>26</v>
      </c>
      <c r="E6" s="7"/>
      <c r="F6" s="7"/>
      <c r="G6" s="5" t="str">
        <f aca="false">IF(E6="","",IF(E6="Low","Safe","Phishing"))</f>
        <v/>
      </c>
      <c r="H6" s="8" t="str">
        <f aca="false">IF(G6="","",IF(G6=D6,"Correct","Wrong"))</f>
        <v/>
      </c>
      <c r="I6" s="9"/>
    </row>
    <row r="7" customFormat="false" ht="61.5" hidden="false" customHeight="true" outlineLevel="0" collapsed="false">
      <c r="A7" s="5" t="s">
        <v>35</v>
      </c>
      <c r="B7" s="5" t="s">
        <v>24</v>
      </c>
      <c r="C7" s="6" t="s">
        <v>36</v>
      </c>
      <c r="D7" s="5" t="s">
        <v>26</v>
      </c>
      <c r="E7" s="7"/>
      <c r="F7" s="7"/>
      <c r="G7" s="5" t="str">
        <f aca="false">IF(E7="","",IF(E7="Low","Safe","Phishing"))</f>
        <v/>
      </c>
      <c r="H7" s="8" t="str">
        <f aca="false">IF(G7="","",IF(G7=D7,"Correct","Wrong"))</f>
        <v/>
      </c>
      <c r="I7" s="9"/>
    </row>
    <row r="8" customFormat="false" ht="61.5" hidden="false" customHeight="true" outlineLevel="0" collapsed="false">
      <c r="A8" s="5" t="s">
        <v>37</v>
      </c>
      <c r="B8" s="5" t="s">
        <v>38</v>
      </c>
      <c r="C8" s="10" t="s">
        <v>39</v>
      </c>
      <c r="D8" s="5" t="s">
        <v>26</v>
      </c>
      <c r="E8" s="7"/>
      <c r="F8" s="7"/>
      <c r="G8" s="5" t="str">
        <f aca="false">IF(E8="","",IF(E8="Low","Safe","Phishing"))</f>
        <v/>
      </c>
      <c r="H8" s="8" t="str">
        <f aca="false">IF(G8="","",IF(G8=D8,"Correct","Wrong"))</f>
        <v/>
      </c>
      <c r="I8" s="9"/>
    </row>
    <row r="9" customFormat="false" ht="61.5" hidden="false" customHeight="true" outlineLevel="0" collapsed="false">
      <c r="A9" s="5" t="s">
        <v>40</v>
      </c>
      <c r="B9" s="5" t="s">
        <v>38</v>
      </c>
      <c r="C9" s="10" t="s">
        <v>41</v>
      </c>
      <c r="D9" s="5" t="s">
        <v>26</v>
      </c>
      <c r="E9" s="7"/>
      <c r="F9" s="7"/>
      <c r="G9" s="5" t="str">
        <f aca="false">IF(E9="","",IF(E9="Low","Safe","Phishing"))</f>
        <v/>
      </c>
      <c r="H9" s="8" t="str">
        <f aca="false">IF(G9="","",IF(G9=D9,"Correct","Wrong"))</f>
        <v/>
      </c>
      <c r="I9" s="9"/>
    </row>
    <row r="10" customFormat="false" ht="61.5" hidden="false" customHeight="true" outlineLevel="0" collapsed="false">
      <c r="A10" s="5" t="s">
        <v>42</v>
      </c>
      <c r="B10" s="5" t="s">
        <v>38</v>
      </c>
      <c r="C10" s="10" t="s">
        <v>43</v>
      </c>
      <c r="D10" s="5" t="s">
        <v>26</v>
      </c>
      <c r="E10" s="7"/>
      <c r="F10" s="7"/>
      <c r="G10" s="5" t="str">
        <f aca="false">IF(E10="","",IF(E10="Low","Safe","Phishing"))</f>
        <v/>
      </c>
      <c r="H10" s="8" t="str">
        <f aca="false">IF(G10="","",IF(G10=D10,"Correct","Wrong"))</f>
        <v/>
      </c>
      <c r="I10" s="9"/>
    </row>
    <row r="11" customFormat="false" ht="61.5" hidden="false" customHeight="true" outlineLevel="0" collapsed="false">
      <c r="A11" s="5" t="s">
        <v>44</v>
      </c>
      <c r="B11" s="5" t="s">
        <v>24</v>
      </c>
      <c r="C11" s="6" t="s">
        <v>45</v>
      </c>
      <c r="D11" s="5" t="s">
        <v>26</v>
      </c>
      <c r="E11" s="7"/>
      <c r="F11" s="7"/>
      <c r="G11" s="5" t="str">
        <f aca="false">IF(E11="","",IF(E11="Low","Safe","Phishing"))</f>
        <v/>
      </c>
      <c r="H11" s="8" t="str">
        <f aca="false">IF(G11="","",IF(G11=D11,"Correct","Wrong"))</f>
        <v/>
      </c>
      <c r="I11" s="9"/>
    </row>
    <row r="12" customFormat="false" ht="61.5" hidden="false" customHeight="true" outlineLevel="0" collapsed="false">
      <c r="A12" s="5" t="s">
        <v>46</v>
      </c>
      <c r="B12" s="5" t="s">
        <v>24</v>
      </c>
      <c r="C12" s="6" t="s">
        <v>47</v>
      </c>
      <c r="D12" s="5" t="s">
        <v>48</v>
      </c>
      <c r="E12" s="7"/>
      <c r="F12" s="7"/>
      <c r="G12" s="5" t="str">
        <f aca="false">IF(E12="","",IF(E12="Low","Safe","Phishing"))</f>
        <v/>
      </c>
      <c r="H12" s="8" t="str">
        <f aca="false">IF(G12="","",IF(G12=D12,"Correct","Wrong"))</f>
        <v/>
      </c>
      <c r="I12" s="9"/>
    </row>
    <row r="13" customFormat="false" ht="61.5" hidden="false" customHeight="true" outlineLevel="0" collapsed="false">
      <c r="A13" s="5" t="s">
        <v>49</v>
      </c>
      <c r="B13" s="5" t="s">
        <v>24</v>
      </c>
      <c r="C13" s="6" t="s">
        <v>50</v>
      </c>
      <c r="D13" s="5" t="s">
        <v>48</v>
      </c>
      <c r="E13" s="7"/>
      <c r="F13" s="7"/>
      <c r="G13" s="5" t="str">
        <f aca="false">IF(E13="","",IF(E13="Low","Safe","Phishing"))</f>
        <v/>
      </c>
      <c r="H13" s="8" t="str">
        <f aca="false">IF(G13="","",IF(G13=D13,"Correct","Wrong"))</f>
        <v/>
      </c>
      <c r="I13" s="9"/>
    </row>
    <row r="14" customFormat="false" ht="61.5" hidden="false" customHeight="true" outlineLevel="0" collapsed="false">
      <c r="A14" s="5" t="s">
        <v>51</v>
      </c>
      <c r="B14" s="5" t="s">
        <v>24</v>
      </c>
      <c r="C14" s="6" t="s">
        <v>52</v>
      </c>
      <c r="D14" s="5" t="s">
        <v>48</v>
      </c>
      <c r="E14" s="7"/>
      <c r="F14" s="7"/>
      <c r="G14" s="5" t="str">
        <f aca="false">IF(E14="","",IF(E14="Low","Safe","Phishing"))</f>
        <v/>
      </c>
      <c r="H14" s="8" t="str">
        <f aca="false">IF(G14="","",IF(G14=D14,"Correct","Wrong"))</f>
        <v/>
      </c>
      <c r="I14" s="9"/>
    </row>
    <row r="15" customFormat="false" ht="61.5" hidden="false" customHeight="true" outlineLevel="0" collapsed="false">
      <c r="A15" s="5" t="s">
        <v>53</v>
      </c>
      <c r="B15" s="5" t="s">
        <v>24</v>
      </c>
      <c r="C15" s="6" t="s">
        <v>54</v>
      </c>
      <c r="D15" s="5" t="s">
        <v>48</v>
      </c>
      <c r="E15" s="7"/>
      <c r="F15" s="7"/>
      <c r="G15" s="5" t="str">
        <f aca="false">IF(E15="","",IF(E15="Low","Safe","Phishing"))</f>
        <v/>
      </c>
      <c r="H15" s="8" t="str">
        <f aca="false">IF(G15="","",IF(G15=D15,"Correct","Wrong"))</f>
        <v/>
      </c>
      <c r="I15" s="9"/>
    </row>
    <row r="16" customFormat="false" ht="61.5" hidden="false" customHeight="true" outlineLevel="0" collapsed="false">
      <c r="A16" s="5" t="s">
        <v>55</v>
      </c>
      <c r="B16" s="5" t="s">
        <v>24</v>
      </c>
      <c r="C16" s="6" t="s">
        <v>56</v>
      </c>
      <c r="D16" s="5" t="s">
        <v>48</v>
      </c>
      <c r="E16" s="7"/>
      <c r="F16" s="7"/>
      <c r="G16" s="5" t="str">
        <f aca="false">IF(E16="","",IF(E16="Low","Safe","Phishing"))</f>
        <v/>
      </c>
      <c r="H16" s="8" t="str">
        <f aca="false">IF(G16="","",IF(G16=D16,"Correct","Wrong"))</f>
        <v/>
      </c>
      <c r="I16" s="9"/>
    </row>
    <row r="17" customFormat="false" ht="61.5" hidden="false" customHeight="true" outlineLevel="0" collapsed="false">
      <c r="A17" s="5" t="s">
        <v>57</v>
      </c>
      <c r="B17" s="5" t="s">
        <v>38</v>
      </c>
      <c r="C17" s="10" t="s">
        <v>58</v>
      </c>
      <c r="D17" s="5" t="s">
        <v>48</v>
      </c>
      <c r="E17" s="7"/>
      <c r="F17" s="7"/>
      <c r="G17" s="5" t="str">
        <f aca="false">IF(E17="","",IF(E17="Low","Safe","Phishing"))</f>
        <v/>
      </c>
      <c r="H17" s="8" t="str">
        <f aca="false">IF(G17="","",IF(G17=D17,"Correct","Wrong"))</f>
        <v/>
      </c>
      <c r="I17" s="9"/>
    </row>
    <row r="18" customFormat="false" ht="61.5" hidden="false" customHeight="true" outlineLevel="0" collapsed="false">
      <c r="A18" s="5" t="s">
        <v>59</v>
      </c>
      <c r="B18" s="5" t="s">
        <v>38</v>
      </c>
      <c r="C18" s="10" t="s">
        <v>60</v>
      </c>
      <c r="D18" s="5" t="s">
        <v>48</v>
      </c>
      <c r="E18" s="7"/>
      <c r="F18" s="7"/>
      <c r="G18" s="5" t="str">
        <f aca="false">IF(E18="","",IF(E18="Low","Safe","Phishing"))</f>
        <v/>
      </c>
      <c r="H18" s="8" t="str">
        <f aca="false">IF(G18="","",IF(G18=D18,"Correct","Wrong"))</f>
        <v/>
      </c>
      <c r="I18" s="9"/>
    </row>
    <row r="19" customFormat="false" ht="61.5" hidden="false" customHeight="true" outlineLevel="0" collapsed="false">
      <c r="A19" s="5" t="s">
        <v>61</v>
      </c>
      <c r="B19" s="5" t="s">
        <v>38</v>
      </c>
      <c r="C19" s="10" t="s">
        <v>62</v>
      </c>
      <c r="D19" s="5" t="s">
        <v>48</v>
      </c>
      <c r="E19" s="7"/>
      <c r="F19" s="7"/>
      <c r="G19" s="5" t="str">
        <f aca="false">IF(E19="","",IF(E19="Low","Safe","Phishing"))</f>
        <v/>
      </c>
      <c r="H19" s="8" t="str">
        <f aca="false">IF(G19="","",IF(G19=D19,"Correct","Wrong"))</f>
        <v/>
      </c>
      <c r="I19" s="9"/>
    </row>
    <row r="20" customFormat="false" ht="61.5" hidden="false" customHeight="true" outlineLevel="0" collapsed="false">
      <c r="A20" s="5" t="s">
        <v>63</v>
      </c>
      <c r="B20" s="5" t="s">
        <v>24</v>
      </c>
      <c r="C20" s="6" t="s">
        <v>64</v>
      </c>
      <c r="D20" s="5" t="s">
        <v>48</v>
      </c>
      <c r="E20" s="7"/>
      <c r="F20" s="7"/>
      <c r="G20" s="5" t="str">
        <f aca="false">IF(E20="","",IF(E20="Low","Safe","Phishing"))</f>
        <v/>
      </c>
      <c r="H20" s="8" t="str">
        <f aca="false">IF(G20="","",IF(G20=D20,"Correct","Wrong"))</f>
        <v/>
      </c>
      <c r="I20" s="9"/>
    </row>
    <row r="21" customFormat="false" ht="61.5" hidden="false" customHeight="true" outlineLevel="0" collapsed="false">
      <c r="A21" s="5" t="s">
        <v>65</v>
      </c>
      <c r="B21" s="5" t="s">
        <v>24</v>
      </c>
      <c r="C21" s="6" t="s">
        <v>66</v>
      </c>
      <c r="D21" s="5" t="s">
        <v>48</v>
      </c>
      <c r="E21" s="7"/>
      <c r="F21" s="7"/>
      <c r="G21" s="5" t="str">
        <f aca="false">IF(E21="","",IF(E21="Low","Safe","Phishing"))</f>
        <v/>
      </c>
      <c r="H21" s="8" t="str">
        <f aca="false">IF(G21="","",IF(G21=D21,"Correct","Wrong"))</f>
        <v/>
      </c>
      <c r="I21" s="9"/>
    </row>
  </sheetData>
  <conditionalFormatting sqref="E2:E21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</conditionalFormatting>
  <conditionalFormatting sqref="H2:H21">
    <cfRule type="cellIs" priority="5" operator="equal" aboveAverage="0" equalAverage="0" bottom="0" percent="0" rank="0" text="" dxfId="3">
      <formula>"Correct"</formula>
    </cfRule>
    <cfRule type="cellIs" priority="6" operator="equal" aboveAverage="0" equalAverage="0" bottom="0" percent="0" rank="0" text="" dxfId="4">
      <formula>"Wrong"</formula>
    </cfRule>
  </conditionalFormatting>
  <dataValidations count="2">
    <dataValidation allowBlank="true" error="Choose Low, Medium or High" errorStyle="stop" operator="between" showDropDown="false" showErrorMessage="false" showInputMessage="false" sqref="E2:E21" type="list">
      <formula1>"Low,Medium,High"</formula1>
      <formula2>0</formula2>
    </dataValidation>
    <dataValidation allowBlank="true" error="Score is a whole number from 0 to 100" errorStyle="stop" operator="between" showDropDown="false" showErrorMessage="false" showInputMessage="false" sqref="F2:F21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64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33.75" hidden="false" customHeight="true" outlineLevel="0" collapsed="false">
      <c r="A1" s="4" t="s">
        <v>15</v>
      </c>
      <c r="B1" s="4" t="s">
        <v>18</v>
      </c>
      <c r="C1" s="4" t="s">
        <v>67</v>
      </c>
      <c r="D1" s="4" t="s">
        <v>68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11</v>
      </c>
    </row>
    <row r="2" customFormat="false" ht="15" hidden="false" customHeight="false" outlineLevel="0" collapsed="false">
      <c r="A2" s="5" t="s">
        <v>69</v>
      </c>
      <c r="B2" s="5" t="s">
        <v>26</v>
      </c>
      <c r="C2" s="6" t="s">
        <v>70</v>
      </c>
      <c r="D2" s="6" t="s">
        <v>71</v>
      </c>
      <c r="E2" s="7"/>
      <c r="F2" s="7"/>
      <c r="G2" s="5" t="str">
        <f aca="false">IF(E2="","",IF(E2="Low","Legitimate","Phishing"))</f>
        <v/>
      </c>
      <c r="H2" s="8" t="str">
        <f aca="false">IF(G2="","",IF(G2=B2,"Correct","Wrong"))</f>
        <v/>
      </c>
      <c r="I2" s="9"/>
    </row>
    <row r="3" customFormat="false" ht="15" hidden="false" customHeight="false" outlineLevel="0" collapsed="false">
      <c r="A3" s="5" t="s">
        <v>72</v>
      </c>
      <c r="B3" s="5" t="s">
        <v>26</v>
      </c>
      <c r="C3" s="6" t="s">
        <v>73</v>
      </c>
      <c r="D3" s="6" t="s">
        <v>74</v>
      </c>
      <c r="E3" s="7"/>
      <c r="F3" s="7"/>
      <c r="G3" s="5" t="str">
        <f aca="false">IF(E3="","",IF(E3="Low","Legitimate","Phishing"))</f>
        <v/>
      </c>
      <c r="H3" s="8" t="str">
        <f aca="false">IF(G3="","",IF(G3=B3,"Correct","Wrong"))</f>
        <v/>
      </c>
      <c r="I3" s="9"/>
    </row>
    <row r="4" customFormat="false" ht="23.85" hidden="false" customHeight="false" outlineLevel="0" collapsed="false">
      <c r="A4" s="5" t="s">
        <v>75</v>
      </c>
      <c r="B4" s="5" t="s">
        <v>26</v>
      </c>
      <c r="C4" s="6" t="s">
        <v>76</v>
      </c>
      <c r="D4" s="6" t="s">
        <v>77</v>
      </c>
      <c r="E4" s="7"/>
      <c r="F4" s="7"/>
      <c r="G4" s="5" t="str">
        <f aca="false">IF(E4="","",IF(E4="Low","Legitimate","Phishing"))</f>
        <v/>
      </c>
      <c r="H4" s="8" t="str">
        <f aca="false">IF(G4="","",IF(G4=B4,"Correct","Wrong"))</f>
        <v/>
      </c>
      <c r="I4" s="9"/>
    </row>
    <row r="5" customFormat="false" ht="15" hidden="false" customHeight="false" outlineLevel="0" collapsed="false">
      <c r="A5" s="5" t="s">
        <v>78</v>
      </c>
      <c r="B5" s="5" t="s">
        <v>26</v>
      </c>
      <c r="C5" s="6" t="s">
        <v>79</v>
      </c>
      <c r="D5" s="6" t="s">
        <v>80</v>
      </c>
      <c r="E5" s="7"/>
      <c r="F5" s="7"/>
      <c r="G5" s="5" t="str">
        <f aca="false">IF(E5="","",IF(E5="Low","Legitimate","Phishing"))</f>
        <v/>
      </c>
      <c r="H5" s="8" t="str">
        <f aca="false">IF(G5="","",IF(G5=B5,"Correct","Wrong"))</f>
        <v/>
      </c>
      <c r="I5" s="9"/>
    </row>
    <row r="6" customFormat="false" ht="15" hidden="false" customHeight="false" outlineLevel="0" collapsed="false">
      <c r="A6" s="5" t="s">
        <v>81</v>
      </c>
      <c r="B6" s="5" t="s">
        <v>26</v>
      </c>
      <c r="C6" s="6" t="s">
        <v>82</v>
      </c>
      <c r="D6" s="6" t="s">
        <v>83</v>
      </c>
      <c r="E6" s="7"/>
      <c r="F6" s="7"/>
      <c r="G6" s="5" t="str">
        <f aca="false">IF(E6="","",IF(E6="Low","Legitimate","Phishing"))</f>
        <v/>
      </c>
      <c r="H6" s="8" t="str">
        <f aca="false">IF(G6="","",IF(G6=B6,"Correct","Wrong"))</f>
        <v/>
      </c>
      <c r="I6" s="9"/>
    </row>
    <row r="7" customFormat="false" ht="15" hidden="false" customHeight="false" outlineLevel="0" collapsed="false">
      <c r="A7" s="5" t="s">
        <v>84</v>
      </c>
      <c r="B7" s="5" t="s">
        <v>26</v>
      </c>
      <c r="C7" s="6" t="s">
        <v>85</v>
      </c>
      <c r="D7" s="6" t="s">
        <v>86</v>
      </c>
      <c r="E7" s="7"/>
      <c r="F7" s="7"/>
      <c r="G7" s="5" t="str">
        <f aca="false">IF(E7="","",IF(E7="Low","Legitimate","Phishing"))</f>
        <v/>
      </c>
      <c r="H7" s="8" t="str">
        <f aca="false">IF(G7="","",IF(G7=B7,"Correct","Wrong"))</f>
        <v/>
      </c>
      <c r="I7" s="9"/>
    </row>
    <row r="8" customFormat="false" ht="15" hidden="false" customHeight="false" outlineLevel="0" collapsed="false">
      <c r="A8" s="5" t="s">
        <v>87</v>
      </c>
      <c r="B8" s="5" t="s">
        <v>26</v>
      </c>
      <c r="C8" s="6" t="s">
        <v>88</v>
      </c>
      <c r="D8" s="6" t="s">
        <v>89</v>
      </c>
      <c r="E8" s="7"/>
      <c r="F8" s="7"/>
      <c r="G8" s="5" t="str">
        <f aca="false">IF(E8="","",IF(E8="Low","Legitimate","Phishing"))</f>
        <v/>
      </c>
      <c r="H8" s="8" t="str">
        <f aca="false">IF(G8="","",IF(G8=B8,"Correct","Wrong"))</f>
        <v/>
      </c>
      <c r="I8" s="9"/>
    </row>
    <row r="9" customFormat="false" ht="23.85" hidden="false" customHeight="false" outlineLevel="0" collapsed="false">
      <c r="A9" s="5" t="s">
        <v>90</v>
      </c>
      <c r="B9" s="5" t="s">
        <v>26</v>
      </c>
      <c r="C9" s="6" t="s">
        <v>91</v>
      </c>
      <c r="D9" s="6" t="s">
        <v>92</v>
      </c>
      <c r="E9" s="7"/>
      <c r="F9" s="7"/>
      <c r="G9" s="5" t="str">
        <f aca="false">IF(E9="","",IF(E9="Low","Legitimate","Phishing"))</f>
        <v/>
      </c>
      <c r="H9" s="8" t="str">
        <f aca="false">IF(G9="","",IF(G9=B9,"Correct","Wrong"))</f>
        <v/>
      </c>
      <c r="I9" s="9"/>
    </row>
    <row r="10" customFormat="false" ht="15" hidden="false" customHeight="false" outlineLevel="0" collapsed="false">
      <c r="A10" s="5" t="s">
        <v>93</v>
      </c>
      <c r="B10" s="5" t="s">
        <v>26</v>
      </c>
      <c r="C10" s="6" t="s">
        <v>94</v>
      </c>
      <c r="D10" s="6" t="s">
        <v>95</v>
      </c>
      <c r="E10" s="7"/>
      <c r="F10" s="7"/>
      <c r="G10" s="5" t="str">
        <f aca="false">IF(E10="","",IF(E10="Low","Legitimate","Phishing"))</f>
        <v/>
      </c>
      <c r="H10" s="8" t="str">
        <f aca="false">IF(G10="","",IF(G10=B10,"Correct","Wrong"))</f>
        <v/>
      </c>
      <c r="I10" s="9"/>
    </row>
    <row r="11" customFormat="false" ht="15" hidden="false" customHeight="false" outlineLevel="0" collapsed="false">
      <c r="A11" s="5" t="s">
        <v>96</v>
      </c>
      <c r="B11" s="5" t="s">
        <v>26</v>
      </c>
      <c r="C11" s="6" t="s">
        <v>97</v>
      </c>
      <c r="D11" s="6" t="s">
        <v>98</v>
      </c>
      <c r="E11" s="7"/>
      <c r="F11" s="7"/>
      <c r="G11" s="5" t="str">
        <f aca="false">IF(E11="","",IF(E11="Low","Legitimate","Phishing"))</f>
        <v/>
      </c>
      <c r="H11" s="8" t="str">
        <f aca="false">IF(G11="","",IF(G11=B11,"Correct","Wrong"))</f>
        <v/>
      </c>
      <c r="I11" s="9"/>
    </row>
    <row r="12" customFormat="false" ht="15" hidden="false" customHeight="false" outlineLevel="0" collapsed="false">
      <c r="A12" s="5" t="s">
        <v>99</v>
      </c>
      <c r="B12" s="5" t="s">
        <v>100</v>
      </c>
      <c r="C12" s="6" t="s">
        <v>101</v>
      </c>
      <c r="D12" s="6" t="s">
        <v>102</v>
      </c>
      <c r="E12" s="7"/>
      <c r="F12" s="7"/>
      <c r="G12" s="5" t="str">
        <f aca="false">IF(E12="","",IF(E12="Low","Legitimate","Phishing"))</f>
        <v/>
      </c>
      <c r="H12" s="8" t="str">
        <f aca="false">IF(G12="","",IF(G12=B12,"Correct","Wrong"))</f>
        <v/>
      </c>
      <c r="I12" s="9"/>
    </row>
    <row r="13" customFormat="false" ht="15" hidden="false" customHeight="false" outlineLevel="0" collapsed="false">
      <c r="A13" s="5" t="s">
        <v>103</v>
      </c>
      <c r="B13" s="5" t="s">
        <v>100</v>
      </c>
      <c r="C13" s="6" t="s">
        <v>104</v>
      </c>
      <c r="D13" s="6" t="s">
        <v>105</v>
      </c>
      <c r="E13" s="7"/>
      <c r="F13" s="7"/>
      <c r="G13" s="5" t="str">
        <f aca="false">IF(E13="","",IF(E13="Low","Legitimate","Phishing"))</f>
        <v/>
      </c>
      <c r="H13" s="8" t="str">
        <f aca="false">IF(G13="","",IF(G13=B13,"Correct","Wrong"))</f>
        <v/>
      </c>
      <c r="I13" s="9"/>
    </row>
    <row r="14" customFormat="false" ht="15" hidden="false" customHeight="false" outlineLevel="0" collapsed="false">
      <c r="A14" s="5" t="s">
        <v>106</v>
      </c>
      <c r="B14" s="5" t="s">
        <v>100</v>
      </c>
      <c r="C14" s="6" t="s">
        <v>107</v>
      </c>
      <c r="D14" s="6" t="s">
        <v>108</v>
      </c>
      <c r="E14" s="7"/>
      <c r="F14" s="7"/>
      <c r="G14" s="5" t="str">
        <f aca="false">IF(E14="","",IF(E14="Low","Legitimate","Phishing"))</f>
        <v/>
      </c>
      <c r="H14" s="8" t="str">
        <f aca="false">IF(G14="","",IF(G14=B14,"Correct","Wrong"))</f>
        <v/>
      </c>
      <c r="I14" s="9"/>
    </row>
    <row r="15" customFormat="false" ht="15" hidden="false" customHeight="false" outlineLevel="0" collapsed="false">
      <c r="A15" s="5" t="s">
        <v>109</v>
      </c>
      <c r="B15" s="5" t="s">
        <v>100</v>
      </c>
      <c r="C15" s="6" t="s">
        <v>110</v>
      </c>
      <c r="D15" s="6" t="s">
        <v>111</v>
      </c>
      <c r="E15" s="7"/>
      <c r="F15" s="7"/>
      <c r="G15" s="5" t="str">
        <f aca="false">IF(E15="","",IF(E15="Low","Legitimate","Phishing"))</f>
        <v/>
      </c>
      <c r="H15" s="8" t="str">
        <f aca="false">IF(G15="","",IF(G15=B15,"Correct","Wrong"))</f>
        <v/>
      </c>
      <c r="I15" s="9"/>
    </row>
    <row r="16" customFormat="false" ht="15" hidden="false" customHeight="false" outlineLevel="0" collapsed="false">
      <c r="A16" s="5" t="s">
        <v>112</v>
      </c>
      <c r="B16" s="5" t="s">
        <v>100</v>
      </c>
      <c r="C16" s="6" t="s">
        <v>113</v>
      </c>
      <c r="D16" s="6" t="s">
        <v>114</v>
      </c>
      <c r="E16" s="7"/>
      <c r="F16" s="7"/>
      <c r="G16" s="5" t="str">
        <f aca="false">IF(E16="","",IF(E16="Low","Legitimate","Phishing"))</f>
        <v/>
      </c>
      <c r="H16" s="8" t="str">
        <f aca="false">IF(G16="","",IF(G16=B16,"Correct","Wrong"))</f>
        <v/>
      </c>
      <c r="I16" s="9"/>
    </row>
    <row r="17" customFormat="false" ht="15" hidden="false" customHeight="false" outlineLevel="0" collapsed="false">
      <c r="A17" s="5" t="s">
        <v>115</v>
      </c>
      <c r="B17" s="5" t="s">
        <v>100</v>
      </c>
      <c r="C17" s="6" t="s">
        <v>116</v>
      </c>
      <c r="D17" s="6" t="s">
        <v>117</v>
      </c>
      <c r="E17" s="7"/>
      <c r="F17" s="7"/>
      <c r="G17" s="5" t="str">
        <f aca="false">IF(E17="","",IF(E17="Low","Legitimate","Phishing"))</f>
        <v/>
      </c>
      <c r="H17" s="8" t="str">
        <f aca="false">IF(G17="","",IF(G17=B17,"Correct","Wrong"))</f>
        <v/>
      </c>
      <c r="I17" s="9"/>
    </row>
    <row r="18" customFormat="false" ht="15" hidden="false" customHeight="false" outlineLevel="0" collapsed="false">
      <c r="A18" s="5" t="s">
        <v>118</v>
      </c>
      <c r="B18" s="5" t="s">
        <v>100</v>
      </c>
      <c r="C18" s="6" t="s">
        <v>119</v>
      </c>
      <c r="D18" s="6" t="s">
        <v>120</v>
      </c>
      <c r="E18" s="7"/>
      <c r="F18" s="7"/>
      <c r="G18" s="5" t="str">
        <f aca="false">IF(E18="","",IF(E18="Low","Legitimate","Phishing"))</f>
        <v/>
      </c>
      <c r="H18" s="8" t="str">
        <f aca="false">IF(G18="","",IF(G18=B18,"Correct","Wrong"))</f>
        <v/>
      </c>
      <c r="I18" s="9"/>
    </row>
    <row r="19" customFormat="false" ht="15" hidden="false" customHeight="false" outlineLevel="0" collapsed="false">
      <c r="A19" s="5" t="s">
        <v>121</v>
      </c>
      <c r="B19" s="5" t="s">
        <v>100</v>
      </c>
      <c r="C19" s="6" t="s">
        <v>122</v>
      </c>
      <c r="D19" s="6" t="s">
        <v>123</v>
      </c>
      <c r="E19" s="7"/>
      <c r="F19" s="7"/>
      <c r="G19" s="5" t="str">
        <f aca="false">IF(E19="","",IF(E19="Low","Legitimate","Phishing"))</f>
        <v/>
      </c>
      <c r="H19" s="8" t="str">
        <f aca="false">IF(G19="","",IF(G19=B19,"Correct","Wrong"))</f>
        <v/>
      </c>
      <c r="I19" s="9"/>
    </row>
    <row r="20" customFormat="false" ht="15" hidden="false" customHeight="false" outlineLevel="0" collapsed="false">
      <c r="A20" s="5" t="s">
        <v>124</v>
      </c>
      <c r="B20" s="5" t="s">
        <v>100</v>
      </c>
      <c r="C20" s="6" t="s">
        <v>125</v>
      </c>
      <c r="D20" s="6" t="s">
        <v>126</v>
      </c>
      <c r="E20" s="7"/>
      <c r="F20" s="7"/>
      <c r="G20" s="5" t="str">
        <f aca="false">IF(E20="","",IF(E20="Low","Legitimate","Phishing"))</f>
        <v/>
      </c>
      <c r="H20" s="8" t="str">
        <f aca="false">IF(G20="","",IF(G20=B20,"Correct","Wrong"))</f>
        <v/>
      </c>
      <c r="I20" s="9"/>
    </row>
    <row r="21" customFormat="false" ht="15" hidden="false" customHeight="false" outlineLevel="0" collapsed="false">
      <c r="A21" s="5" t="s">
        <v>127</v>
      </c>
      <c r="B21" s="5" t="s">
        <v>100</v>
      </c>
      <c r="C21" s="6" t="s">
        <v>128</v>
      </c>
      <c r="D21" s="6" t="s">
        <v>129</v>
      </c>
      <c r="E21" s="7"/>
      <c r="F21" s="7"/>
      <c r="G21" s="5" t="str">
        <f aca="false">IF(E21="","",IF(E21="Low","Legitimate","Phishing"))</f>
        <v/>
      </c>
      <c r="H21" s="8" t="str">
        <f aca="false">IF(G21="","",IF(G21=B21,"Correct","Wrong"))</f>
        <v/>
      </c>
      <c r="I21" s="9"/>
    </row>
  </sheetData>
  <conditionalFormatting sqref="E2:E21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</conditionalFormatting>
  <conditionalFormatting sqref="H2:H21">
    <cfRule type="cellIs" priority="5" operator="equal" aboveAverage="0" equalAverage="0" bottom="0" percent="0" rank="0" text="" dxfId="3">
      <formula>"Correct"</formula>
    </cfRule>
    <cfRule type="cellIs" priority="6" operator="equal" aboveAverage="0" equalAverage="0" bottom="0" percent="0" rank="0" text="" dxfId="4">
      <formula>"Wrong"</formula>
    </cfRule>
  </conditionalFormatting>
  <dataValidations count="2">
    <dataValidation allowBlank="true" error="Score is a whole number from 0 to 100" errorStyle="stop" operator="between" showDropDown="false" showErrorMessage="false" showInputMessage="false" sqref="F2:F21" type="whole">
      <formula1>0</formula1>
      <formula2>100</formula2>
    </dataValidation>
    <dataValidation allowBlank="true" error="Choose Low, Medium or High" errorStyle="stop" operator="between" showDropDown="false" showErrorMessage="false" showInputMessage="false" sqref="E2:E21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1" t="s">
        <v>130</v>
      </c>
    </row>
    <row r="3" customFormat="false" ht="15" hidden="false" customHeight="false" outlineLevel="0" collapsed="false">
      <c r="A3" s="12" t="s">
        <v>131</v>
      </c>
    </row>
    <row r="4" customFormat="false" ht="15" hidden="false" customHeight="false" outlineLevel="0" collapsed="false">
      <c r="A4" s="13" t="s">
        <v>132</v>
      </c>
      <c r="B4" s="14"/>
      <c r="C4" s="15"/>
      <c r="D4" s="15"/>
      <c r="E4" s="15"/>
    </row>
    <row r="5" customFormat="false" ht="15" hidden="false" customHeight="false" outlineLevel="0" collapsed="false">
      <c r="A5" s="13" t="s">
        <v>133</v>
      </c>
      <c r="B5" s="14"/>
      <c r="C5" s="15"/>
      <c r="D5" s="15"/>
      <c r="E5" s="15"/>
    </row>
    <row r="6" customFormat="false" ht="15" hidden="false" customHeight="false" outlineLevel="0" collapsed="false">
      <c r="A6" s="13" t="s">
        <v>134</v>
      </c>
      <c r="B6" s="14"/>
      <c r="C6" s="15"/>
      <c r="D6" s="15"/>
      <c r="E6" s="15"/>
    </row>
    <row r="7" customFormat="false" ht="15" hidden="false" customHeight="false" outlineLevel="0" collapsed="false">
      <c r="A7" s="13" t="s">
        <v>135</v>
      </c>
      <c r="B7" s="14"/>
      <c r="C7" s="15"/>
      <c r="D7" s="15"/>
      <c r="E7" s="15"/>
    </row>
    <row r="9" customFormat="false" ht="15" hidden="false" customHeight="false" outlineLevel="0" collapsed="false">
      <c r="A9" s="12" t="s">
        <v>136</v>
      </c>
    </row>
    <row r="10" customFormat="false" ht="15" hidden="false" customHeight="false" outlineLevel="0" collapsed="false">
      <c r="A10" s="16"/>
      <c r="B10" s="16" t="s">
        <v>137</v>
      </c>
      <c r="C10" s="16" t="s">
        <v>138</v>
      </c>
      <c r="D10" s="16" t="s">
        <v>139</v>
      </c>
      <c r="E10" s="16" t="s">
        <v>140</v>
      </c>
    </row>
    <row r="11" customFormat="false" ht="15" hidden="false" customHeight="false" outlineLevel="0" collapsed="false">
      <c r="A11" s="13" t="s">
        <v>141</v>
      </c>
      <c r="B11" s="17" t="n">
        <f aca="false">COUNTIF(Emails!H2:H21,"Correct")</f>
        <v>0</v>
      </c>
      <c r="C11" s="17" t="n">
        <f aca="false">COUNTIF(Emails!H2:H21,"Wrong")</f>
        <v>0</v>
      </c>
      <c r="D11" s="17" t="n">
        <f aca="false">B11+C11</f>
        <v>0</v>
      </c>
      <c r="E11" s="18" t="str">
        <f aca="false">IF(D11=0,"-",B11/D11)</f>
        <v>-</v>
      </c>
    </row>
    <row r="12" customFormat="false" ht="15" hidden="false" customHeight="false" outlineLevel="0" collapsed="false">
      <c r="A12" s="13" t="s">
        <v>142</v>
      </c>
      <c r="B12" s="17" t="n">
        <f aca="false">COUNTIF(Links!H2:H21,"Correct")</f>
        <v>0</v>
      </c>
      <c r="C12" s="17" t="n">
        <f aca="false">COUNTIF(Links!H2:H21,"Wrong")</f>
        <v>0</v>
      </c>
      <c r="D12" s="17" t="n">
        <f aca="false">B12+C12</f>
        <v>0</v>
      </c>
      <c r="E12" s="18" t="str">
        <f aca="false">IF(D12=0,"-",B12/D12)</f>
        <v>-</v>
      </c>
    </row>
    <row r="13" customFormat="false" ht="15" hidden="false" customHeight="false" outlineLevel="0" collapsed="false">
      <c r="A13" s="13" t="s">
        <v>143</v>
      </c>
      <c r="B13" s="17" t="n">
        <f aca="false">B11+B12</f>
        <v>0</v>
      </c>
      <c r="C13" s="17" t="n">
        <f aca="false">C11+C12</f>
        <v>0</v>
      </c>
      <c r="D13" s="17" t="n">
        <f aca="false">B13+C13</f>
        <v>0</v>
      </c>
      <c r="E13" s="18" t="str">
        <f aca="false">IF(D13=0,"-",B13/D13)</f>
        <v>-</v>
      </c>
    </row>
    <row r="15" customFormat="false" ht="15" hidden="false" customHeight="false" outlineLevel="0" collapsed="false">
      <c r="A15" s="12" t="s">
        <v>144</v>
      </c>
    </row>
    <row r="16" customFormat="false" ht="15" hidden="false" customHeight="false" outlineLevel="0" collapsed="false">
      <c r="A16" s="13" t="s">
        <v>145</v>
      </c>
      <c r="B16" s="18" t="str">
        <f aca="false">IF(COUNTIFS(Emails!D2:D21,"Phishing",Emails!H2:H21,"Correct")+COUNTIFS(Emails!D2:D21,"Phishing",Emails!H2:H21,"Wrong")=0,"-",COUNTIFS(Emails!D2:D21,"Phishing",Emails!H2:H21,"Correct")/(COUNTIFS(Emails!D2:D21,"Phishing",Emails!H2:H21,"Correct")+COUNTIFS(Emails!D2:D21,"Phishing",Emails!H2:H21,"Wrong")))</f>
        <v>-</v>
      </c>
      <c r="C16" s="17"/>
      <c r="D16" s="17"/>
      <c r="E16" s="17"/>
    </row>
    <row r="17" customFormat="false" ht="15" hidden="false" customHeight="false" outlineLevel="0" collapsed="false">
      <c r="A17" s="13" t="s">
        <v>146</v>
      </c>
      <c r="B17" s="17" t="n">
        <f aca="false">COUNTIFS(Emails!D2:D21,"Safe",Emails!H2:H21,"Wrong")</f>
        <v>0</v>
      </c>
      <c r="C17" s="17"/>
      <c r="D17" s="17"/>
      <c r="E17" s="17"/>
    </row>
    <row r="18" customFormat="false" ht="15" hidden="false" customHeight="false" outlineLevel="0" collapsed="false">
      <c r="A18" s="13" t="s">
        <v>147</v>
      </c>
      <c r="B18" s="18" t="str">
        <f aca="false">IF(COUNTIFS(Links!B2:B21,"Phishing",Links!H2:H21,"Correct")+COUNTIFS(Links!B2:B21,"Phishing",Links!H2:H21,"Wrong")=0,"-",COUNTIFS(Links!B2:B21,"Phishing",Links!H2:H21,"Correct")/(COUNTIFS(Links!B2:B21,"Phishing",Links!H2:H21,"Correct")+COUNTIFS(Links!B2:B21,"Phishing",Links!H2:H21,"Wrong")))</f>
        <v>-</v>
      </c>
      <c r="C18" s="17"/>
      <c r="D18" s="17"/>
      <c r="E18" s="17"/>
    </row>
    <row r="19" customFormat="false" ht="15" hidden="false" customHeight="false" outlineLevel="0" collapsed="false">
      <c r="A19" s="13" t="s">
        <v>148</v>
      </c>
      <c r="B19" s="17" t="n">
        <f aca="false">COUNTIFS(Links!B2:B21,"Legitimate",Links!H2:H21,"Wrong")</f>
        <v>0</v>
      </c>
      <c r="C19" s="17"/>
      <c r="D19" s="17"/>
      <c r="E19" s="17"/>
    </row>
    <row r="21" customFormat="false" ht="15" hidden="false" customHeight="false" outlineLevel="0" collapsed="false">
      <c r="A21" s="19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2026-10-16T11:52:39Z</dcterms:created>
  <dc:creator>openpyxl</dc:creator>
  <dc:description/>
  <dc:language>en-US</dc:language>
  <cp:lastModifiedBy/>
  <dcterms:modified xsi:type="dcterms:W3CDTF">2026-10-16T11:52:42Z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